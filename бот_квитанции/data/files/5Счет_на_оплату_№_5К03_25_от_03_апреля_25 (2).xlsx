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<sst xmlns="http://schemas.openxmlformats.org/spreadsheetml/2006/main" count="36" uniqueCount="35">
  <si>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ПАО СБЕРБАНК г Москва</t>
  </si>
  <si>
    <t xml:space="preserve">БИК</t>
  </si>
  <si>
    <t xml:space="preserve">044525225</t>
  </si>
  <si>
    <t xml:space="preserve">Сч. №</t>
  </si>
  <si>
    <t xml:space="preserve">30101810400000000225</t>
  </si>
  <si>
    <t xml:space="preserve">Банк получателя</t>
  </si>
  <si>
    <t xml:space="preserve">ИНН</t>
  </si>
  <si>
    <t xml:space="preserve">770403615307</t>
  </si>
  <si>
    <t xml:space="preserve">КПП</t>
  </si>
  <si>
    <t xml:space="preserve">40802810938000222912</t>
  </si>
  <si>
    <t xml:space="preserve">Индивидуальный предприниматель Котяков Максим Александрович</t>
  </si>
  <si>
    <t xml:space="preserve">Получатель</t>
  </si>
  <si>
    <t xml:space="preserve">Счет на оплату № 5К03-25 от 3 апреля 2025 г.</t>
  </si>
  <si>
    <t xml:space="preserve">Поставщик
(Исполнитель):</t>
  </si>
  <si>
    <t xml:space="preserve">ИП Котяков Максим Александрович., ИНН 770403615307</t>
  </si>
  <si>
    <t xml:space="preserve">Покупатель
(Заказчик):</t>
  </si>
  <si>
    <t xml:space="preserve">ИП Дубровский Алексей Павлович, ИНН 231007788757, 350072, Краснодарский край, Краснодар г, им Котлярова Н.С. ул, дом № 19, квартира 305</t>
  </si>
  <si>
    <t xml:space="preserve">Основание:</t>
  </si>
  <si>
    <t xml:space="preserve">Договор аренды № 49/2025 от 01.01.2025г.</t>
  </si>
  <si>
    <t xml:space="preserve">№</t>
  </si>
  <si>
    <t xml:space="preserve">Товары (работы, услуги)</t>
  </si>
  <si>
    <t xml:space="preserve">Кол-во</t>
  </si>
  <si>
    <t xml:space="preserve">Ед.</t>
  </si>
  <si>
    <t xml:space="preserve">Цена</t>
  </si>
  <si>
    <t xml:space="preserve">Сумма</t>
  </si>
  <si>
    <t xml:space="preserve">Возмещение переменной части арендной платы (электроэнергия) согласно договору аренды №49/2025 от 01.01.2025 (холодильник)  за февраль 2025 г.</t>
  </si>
  <si>
    <t xml:space="preserve">мес</t>
  </si>
  <si>
    <t xml:space="preserve">Итого:</t>
  </si>
  <si>
    <t xml:space="preserve">Без налога (НДС)</t>
  </si>
  <si>
    <t xml:space="preserve">-</t>
  </si>
  <si>
    <t xml:space="preserve">Всего к оплате:</t>
  </si>
  <si>
    <t xml:space="preserve">Всего наименований 1, на сумму 50 987,10 руб.</t>
  </si>
  <si>
    <t xml:space="preserve">Пятьдесят тысяч девятьсот восемьдесят семь рублей 10 копеек</t>
  </si>
  <si>
    <t xml:space="preserve">Предприниматель</t>
  </si>
  <si>
    <t xml:space="preserve">Дубровский А.П.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</si>
</sst>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0"/>
  </numFmts>
  <fonts count="9">
    <font>
      <sz val="8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9"/>
      <name val="Arial"/>
      <family val="2"/>
      <charset val="1"/>
    </font>
    <font>
      <sz val="8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9"/>
      <name val="Arial"/>
      <family val="2"/>
      <charset val="1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8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0</xdr:rowOff>
    </xdr:from>
    <xdr:to>
      <xdr:col>44</xdr:col>
      <xdr:colOff>156960</xdr:colOff>
      <xdr:row>40</xdr:row>
      <xdr:rowOff>6120</xdr:rowOff>
    </xdr:to>
    <xdr:pic>
      <xdr:nvPicPr>
        <xdr:cNvPr id="1" name="Picture 2"/>
        <xdr:cNvPicPr/>
      </xdr:nvPicPr>
      <xdr:blipFill>
        <a:blip r:embed="rId1"/>
        <a:stretch/>
      </xdr:blipFill>
      <xdr:spPr>
        <a:xfrm>
          <a:off x="0" y="4772160"/>
          <a:ext cx="6343200" cy="1396800"/>
        </a:xfrm>
        <a:prstGeom prst="rect">
          <a:avLst/>
        </a:prstGeom>
        <a:noFill/>
        <a:ln w="1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B1:AT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ColWidth="10.5078125" defaultRowHeight="11.25" customHeight="true" zeroHeight="false" outlineLevelRow="0" outlineLevelCol="0"/>
  <cols>
    <col collapsed="false" customWidth="true" hidden="false" outlineLevel="0" max="1" min="1" style="1" width="1.17"/>
    <col collapsed="false" customWidth="true" hidden="false" outlineLevel="0" max="2" min="2" style="1" width="3.5"/>
    <col collapsed="false" customWidth="true" hidden="false" outlineLevel="0" max="3" min="3" style="1" width="1.83"/>
    <col collapsed="false" customWidth="true" hidden="false" outlineLevel="0" max="4" min="4" style="1" width="1.66"/>
    <col collapsed="false" customWidth="true" hidden="false" outlineLevel="0" max="5" min="5" style="1" width="3.5"/>
    <col collapsed="false" customWidth="true" hidden="false" outlineLevel="0" max="6" min="6" style="1" width="4.34"/>
    <col collapsed="false" customWidth="true" hidden="false" outlineLevel="0" max="7" min="7" style="1" width="2.5"/>
    <col collapsed="false" customWidth="true" hidden="false" outlineLevel="0" max="8" min="8" style="1" width="0.5"/>
    <col collapsed="false" customWidth="true" hidden="false" outlineLevel="0" max="9" min="9" style="1" width="3"/>
    <col collapsed="false" customWidth="true" hidden="false" outlineLevel="0" max="16" min="10" style="1" width="3.5"/>
    <col collapsed="false" customWidth="true" hidden="false" outlineLevel="0" max="17" min="17" style="1" width="2.83"/>
    <col collapsed="false" customWidth="true" hidden="false" outlineLevel="0" max="19" min="18" style="1" width="1.34"/>
    <col collapsed="false" customWidth="true" hidden="false" outlineLevel="0" max="21" min="20" style="1" width="2.83"/>
    <col collapsed="false" customWidth="true" hidden="false" outlineLevel="0" max="22" min="22" style="1" width="2.17"/>
    <col collapsed="false" customWidth="true" hidden="false" outlineLevel="0" max="23" min="23" style="1" width="1.34"/>
    <col collapsed="false" customWidth="true" hidden="false" outlineLevel="0" max="24" min="24" style="1" width="0.17"/>
    <col collapsed="false" customWidth="true" hidden="false" outlineLevel="0" max="25" min="25" style="1" width="3.34"/>
    <col collapsed="false" customWidth="true" hidden="false" outlineLevel="0" max="26" min="26" style="1" width="2.17"/>
    <col collapsed="false" customWidth="true" hidden="false" outlineLevel="0" max="27" min="27" style="1" width="1.34"/>
    <col collapsed="false" customWidth="true" hidden="false" outlineLevel="0" max="28" min="28" style="1" width="2.17"/>
    <col collapsed="false" customWidth="true" hidden="false" outlineLevel="0" max="29" min="29" style="1" width="1.34"/>
    <col collapsed="false" customWidth="true" hidden="false" outlineLevel="0" max="30" min="30" style="1" width="4"/>
    <col collapsed="false" customWidth="true" hidden="false" outlineLevel="0" max="32" min="31" style="1" width="1.83"/>
    <col collapsed="false" customWidth="true" hidden="false" outlineLevel="0" max="35" min="33" style="1" width="3.5"/>
    <col collapsed="false" customWidth="true" hidden="false" outlineLevel="0" max="36" min="36" style="1" width="2.17"/>
    <col collapsed="false" customWidth="true" hidden="false" outlineLevel="0" max="37" min="37" style="1" width="0.34"/>
    <col collapsed="false" customWidth="true" hidden="false" outlineLevel="0" max="38" min="38" style="1" width="1"/>
    <col collapsed="false" customWidth="true" hidden="false" outlineLevel="0" max="42" min="39" style="1" width="3.5"/>
    <col collapsed="false" customWidth="true" hidden="false" outlineLevel="0" max="43" min="43" style="1" width="1.34"/>
    <col collapsed="false" customWidth="true" hidden="false" outlineLevel="0" max="44" min="44" style="1" width="0.66"/>
  </cols>
  <sheetData>
    <row r="1" customFormat="false" ht="10.5" hidden="false" customHeight="true" outlineLevel="0" collapsed="false"/>
    <row r="2" customFormat="false" ht="12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 t="s">
        <v>1</v>
      </c>
      <c r="Y2" s="3"/>
      <c r="Z2" s="3"/>
      <c r="AA2" s="3"/>
      <c r="AB2" s="3"/>
      <c r="AC2" s="3"/>
      <c r="AD2" s="4" t="s">
        <v>2</v>
      </c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customFormat="false" ht="10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5" t="s">
        <v>3</v>
      </c>
      <c r="Y3" s="5"/>
      <c r="Z3" s="5"/>
      <c r="AA3" s="5"/>
      <c r="AB3" s="5"/>
      <c r="AC3" s="5"/>
      <c r="AD3" s="6" t="s">
        <v>4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customFormat="false" ht="10.5" hidden="false" customHeight="true" outlineLevel="0" collapsed="false">
      <c r="B4" s="7" t="s">
        <v>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5"/>
      <c r="Y4" s="5"/>
      <c r="Z4" s="5"/>
      <c r="AA4" s="5"/>
      <c r="AB4" s="5"/>
      <c r="AC4" s="5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customFormat="false" ht="12.75" hidden="false" customHeight="true" outlineLevel="0" collapsed="false">
      <c r="B5" s="8" t="s">
        <v>6</v>
      </c>
      <c r="C5" s="8"/>
      <c r="D5" s="8"/>
      <c r="E5" s="9" t="s">
        <v>7</v>
      </c>
      <c r="F5" s="9"/>
      <c r="G5" s="9"/>
      <c r="H5" s="9"/>
      <c r="I5" s="9"/>
      <c r="J5" s="9"/>
      <c r="K5" s="9"/>
      <c r="L5" s="9"/>
      <c r="M5" s="8" t="s">
        <v>8</v>
      </c>
      <c r="N5" s="8"/>
      <c r="O5" s="9"/>
      <c r="P5" s="9"/>
      <c r="Q5" s="9"/>
      <c r="R5" s="9"/>
      <c r="S5" s="9"/>
      <c r="T5" s="9"/>
      <c r="U5" s="9"/>
      <c r="V5" s="9"/>
      <c r="W5" s="9"/>
      <c r="X5" s="5" t="s">
        <v>3</v>
      </c>
      <c r="Y5" s="5"/>
      <c r="Z5" s="5"/>
      <c r="AA5" s="5"/>
      <c r="AB5" s="5"/>
      <c r="AC5" s="5"/>
      <c r="AD5" s="5" t="s">
        <v>9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</row>
    <row r="6" customFormat="false" ht="12.75" hidden="false" customHeight="true" outlineLevel="0" collapsed="false">
      <c r="B6" s="10" t="s">
        <v>10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customFormat="false" ht="12" hidden="false" customHeight="true" outlineLevel="0" collapsed="false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</row>
    <row r="8" customFormat="false" ht="10.5" hidden="false" customHeight="true" outlineLevel="0" collapsed="false">
      <c r="B8" s="11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</row>
    <row r="11" customFormat="false" ht="10.5" hidden="false" customHeight="true" outlineLevel="0" collapsed="false">
      <c r="B11" s="12" t="s">
        <v>12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</row>
    <row r="12" customFormat="false" ht="10.5" hidden="false" customHeight="true" outlineLevel="0" collapsed="false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</row>
    <row r="13" s="1" customFormat="true" ht="6.75" hidden="false" customHeight="true" outlineLevel="0" collapsed="false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 s="1" customFormat="true" ht="6.75" hidden="false" customHeight="true" outlineLevel="0" collapsed="false"/>
    <row r="15" customFormat="false" ht="13.5" hidden="false" customHeight="true" outlineLevel="0" collapsed="false">
      <c r="B15" s="14" t="s">
        <v>13</v>
      </c>
      <c r="C15" s="14"/>
      <c r="D15" s="14"/>
      <c r="E15" s="14"/>
      <c r="F15" s="14"/>
      <c r="G15" s="15" t="s">
        <v>14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="1" customFormat="true" ht="10.5" hidden="false" customHeight="true" outlineLevel="0" collapsed="false">
      <c r="B16" s="14"/>
      <c r="C16" s="14"/>
      <c r="D16" s="14"/>
      <c r="E16" s="14"/>
      <c r="F16" s="14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="1" customFormat="true" ht="6.75" hidden="false" customHeight="true" outlineLevel="0" collapsed="false"/>
    <row r="18" customFormat="false" ht="13.5" hidden="false" customHeight="true" outlineLevel="0" collapsed="false">
      <c r="B18" s="14" t="s">
        <v>15</v>
      </c>
      <c r="C18" s="14"/>
      <c r="D18" s="14"/>
      <c r="E18" s="14"/>
      <c r="F18" s="14"/>
      <c r="G18" s="15" t="s">
        <v>16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</row>
    <row r="19" s="1" customFormat="true" ht="10.5" hidden="false" customHeight="true" outlineLevel="0" collapsed="false">
      <c r="B19" s="14"/>
      <c r="C19" s="14"/>
      <c r="D19" s="14"/>
      <c r="E19" s="14"/>
      <c r="F19" s="14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</row>
    <row r="20" s="1" customFormat="true" ht="6.75" hidden="false" customHeight="true" outlineLevel="0" collapsed="false"/>
    <row r="21" customFormat="false" ht="25.5" hidden="false" customHeight="true" outlineLevel="0" collapsed="false">
      <c r="B21" s="16" t="s">
        <v>17</v>
      </c>
      <c r="C21" s="16"/>
      <c r="D21" s="16"/>
      <c r="E21" s="16"/>
      <c r="F21" s="16"/>
      <c r="G21" s="15" t="s">
        <v>18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</row>
    <row r="22" s="1" customFormat="true" ht="6.75" hidden="false" customHeight="true" outlineLevel="0" collapsed="false"/>
    <row r="23" customFormat="false" ht="12.75" hidden="false" customHeight="true" outlineLevel="0" collapsed="false">
      <c r="B23" s="17" t="s">
        <v>19</v>
      </c>
      <c r="C23" s="17"/>
      <c r="D23" s="18" t="s">
        <v>20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21</v>
      </c>
      <c r="Z23" s="18"/>
      <c r="AA23" s="18"/>
      <c r="AB23" s="18"/>
      <c r="AC23" s="18" t="s">
        <v>22</v>
      </c>
      <c r="AD23" s="18"/>
      <c r="AE23" s="18"/>
      <c r="AF23" s="18" t="s">
        <v>23</v>
      </c>
      <c r="AG23" s="18"/>
      <c r="AH23" s="18"/>
      <c r="AI23" s="18"/>
      <c r="AJ23" s="18"/>
      <c r="AK23" s="19" t="s">
        <v>24</v>
      </c>
      <c r="AL23" s="19"/>
      <c r="AM23" s="19"/>
      <c r="AN23" s="19"/>
      <c r="AO23" s="19"/>
      <c r="AP23" s="19"/>
      <c r="AQ23" s="19"/>
    </row>
    <row r="24" customFormat="false" ht="40.5" hidden="false" customHeight="true" outlineLevel="0" collapsed="false">
      <c r="B24" s="20" t="n">
        <v>1</v>
      </c>
      <c r="C24" s="20"/>
      <c r="D24" s="21" t="s">
        <v>25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2" t="n">
        <v>1</v>
      </c>
      <c r="Z24" s="23"/>
      <c r="AA24" s="23"/>
      <c r="AB24" s="23"/>
      <c r="AC24" s="24" t="s">
        <v>26</v>
      </c>
      <c r="AD24" s="24"/>
      <c r="AE24" s="24"/>
      <c r="AF24" s="25" t="n">
        <v>50987.1</v>
      </c>
      <c r="AG24" s="25"/>
      <c r="AH24" s="25"/>
      <c r="AI24" s="25"/>
      <c r="AJ24" s="25"/>
      <c r="AK24" s="26" t="n">
        <f aca="false">AF24</f>
        <v>50987.1</v>
      </c>
      <c r="AL24" s="26"/>
      <c r="AM24" s="26"/>
      <c r="AN24" s="26"/>
      <c r="AO24" s="26"/>
      <c r="AP24" s="26"/>
      <c r="AQ24" s="26"/>
      <c r="AR24" s="27" t="n">
        <f aca="false">SUM(AK24)</f>
        <v>50987.1</v>
      </c>
      <c r="AT24" s="28"/>
    </row>
    <row r="25" s="1" customFormat="true" ht="8.25" hidden="false" customHeight="true" outlineLevel="0" collapsed="false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30" t="n">
        <f aca="false">SUM(AK24)</f>
        <v>50987.1</v>
      </c>
      <c r="AL25" s="29"/>
      <c r="AM25" s="29"/>
      <c r="AN25" s="29"/>
      <c r="AO25" s="29"/>
      <c r="AP25" s="29"/>
      <c r="AQ25" s="30" t="n">
        <f aca="false">SUM(AK25:AP25)</f>
        <v>50987.1</v>
      </c>
    </row>
    <row r="26" customFormat="false" ht="20.25" hidden="false" customHeight="true" outlineLevel="0" collapsed="false"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 t="s">
        <v>27</v>
      </c>
      <c r="AL26" s="32" t="n">
        <f aca="false">AK24</f>
        <v>50987.1</v>
      </c>
      <c r="AM26" s="32"/>
      <c r="AN26" s="32"/>
      <c r="AO26" s="32"/>
      <c r="AP26" s="32"/>
      <c r="AQ26" s="32"/>
    </row>
    <row r="27" customFormat="false" ht="12.75" hidden="false" customHeight="true" outlineLevel="0" collapsed="false"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 t="s">
        <v>28</v>
      </c>
      <c r="AL27" s="33" t="e">
        <f aca="false">#ref!</f>
        <v>#NAME?</v>
      </c>
      <c r="AM27" s="31"/>
      <c r="AN27" s="31"/>
      <c r="AO27" s="31"/>
      <c r="AP27" s="31"/>
      <c r="AQ27" s="31" t="s">
        <v>29</v>
      </c>
    </row>
    <row r="28" customFormat="false" ht="12.75" hidden="false" customHeight="true" outlineLevel="0" collapsed="false"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 t="s">
        <v>30</v>
      </c>
      <c r="AL28" s="32" t="n">
        <f aca="false">AL26</f>
        <v>50987.1</v>
      </c>
      <c r="AM28" s="32"/>
      <c r="AN28" s="32"/>
      <c r="AO28" s="32"/>
      <c r="AP28" s="32"/>
      <c r="AQ28" s="32"/>
      <c r="AR28" s="1" t="n">
        <f aca="false">SUM(AK28:AQ28)</f>
        <v>50987.1</v>
      </c>
    </row>
    <row r="29" customFormat="false" ht="12.75" hidden="false" customHeight="true" outlineLevel="0" collapsed="false">
      <c r="B29" s="34" t="s">
        <v>31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</row>
    <row r="30" customFormat="false" ht="12.75" hidden="false" customHeight="true" outlineLevel="0" collapsed="false">
      <c r="B30" s="35" t="s">
        <v>32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</row>
    <row r="32" s="1" customFormat="true" ht="6.75" hidden="false" customHeight="true" outlineLevel="0" collapsed="false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4" customFormat="false" ht="12.75" hidden="false" customHeight="true" outlineLevel="0" collapsed="false">
      <c r="B34" s="36" t="s">
        <v>33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8" t="s">
        <v>34</v>
      </c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</row>
  </sheetData>
  <mergeCells count="39">
    <mergeCell ref="B2:W3"/>
    <mergeCell ref="X2:AC2"/>
    <mergeCell ref="AD2:AR2"/>
    <mergeCell ref="X3:AC4"/>
    <mergeCell ref="AD3:AR4"/>
    <mergeCell ref="B4:W4"/>
    <mergeCell ref="B5:D5"/>
    <mergeCell ref="E5:L5"/>
    <mergeCell ref="M5:N5"/>
    <mergeCell ref="O5:W5"/>
    <mergeCell ref="X5:AC8"/>
    <mergeCell ref="AD5:AR8"/>
    <mergeCell ref="B6:W7"/>
    <mergeCell ref="B8:W8"/>
    <mergeCell ref="B11:AR12"/>
    <mergeCell ref="B13:AR13"/>
    <mergeCell ref="B15:F16"/>
    <mergeCell ref="G15:AR16"/>
    <mergeCell ref="B18:F19"/>
    <mergeCell ref="G18:AR19"/>
    <mergeCell ref="B21:F21"/>
    <mergeCell ref="G21:AR21"/>
    <mergeCell ref="B23:C23"/>
    <mergeCell ref="D23:X23"/>
    <mergeCell ref="Y23:AB23"/>
    <mergeCell ref="AC23:AE23"/>
    <mergeCell ref="AF23:AJ23"/>
    <mergeCell ref="AK23:AQ23"/>
    <mergeCell ref="B24:C24"/>
    <mergeCell ref="D24:X24"/>
    <mergeCell ref="AC24:AE24"/>
    <mergeCell ref="AF24:AJ24"/>
    <mergeCell ref="AK24:AQ24"/>
    <mergeCell ref="AL26:AQ26"/>
    <mergeCell ref="AL28:AQ28"/>
    <mergeCell ref="B29:AR29"/>
    <mergeCell ref="B30:AP30"/>
    <mergeCell ref="M34:W34"/>
    <mergeCell ref="X34:AR34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2020-02-17T10:10:51Z</dcterms:created>
  <dc:creator>Justas</dc:creator>
  <dc:description/>
  <dc:language>ru-RU</dc:language>
  <cp:lastModifiedBy/>
  <cp:lastPrinted>2026-07-10T14:18:40Z</cp:lastPrinted>
  <dcterms:modified xsi:type="dcterms:W3CDTF">2026-07-10T14:25:41Z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